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created_date</t>
        </is>
      </c>
      <c r="G1" t="inlineStr">
        <is>
          <t>closed_date</t>
        </is>
      </c>
      <c r="H1" t="inlineStr">
        <is>
          <t>same_day</t>
        </is>
      </c>
      <c r="I1" t="inlineStr">
        <is>
          <t>same_hour</t>
        </is>
      </c>
    </row>
    <row r="2">
      <c r="A2" t="inlineStr">
        <is>
          <t>isu-sjd-457</t>
        </is>
      </c>
      <c r="B2" s="1" t="n">
        <v>44427.69841435185</v>
      </c>
      <c r="C2" s="1" t="n">
        <v>44430.52328703704</v>
      </c>
      <c r="D2" t="inlineStr">
        <is>
          <t>wrqy-juv-978</t>
        </is>
      </c>
      <c r="E2" t="inlineStr">
        <is>
          <t>vew-iuvd-12</t>
        </is>
      </c>
      <c r="F2">
        <f>INT(B2)</f>
        <v/>
      </c>
      <c r="G2">
        <f>INT(C2)</f>
        <v/>
      </c>
      <c r="H2">
        <f>F2=G2</f>
        <v/>
      </c>
      <c r="I2">
        <f>HOUR(B2)=HOUR(C2)</f>
        <v/>
      </c>
    </row>
    <row r="3">
      <c r="A3" t="inlineStr">
        <is>
          <t>qer-fal-092</t>
        </is>
      </c>
      <c r="B3" s="1" t="n">
        <v>44429.46483796297</v>
      </c>
      <c r="C3" s="1" t="n">
        <v>44429.71788194445</v>
      </c>
      <c r="D3" t="inlineStr">
        <is>
          <t>8woh-k3u-23b</t>
        </is>
      </c>
      <c r="E3" t="inlineStr">
        <is>
          <t>xjs-owq-45k</t>
        </is>
      </c>
      <c r="F3">
        <f>INT(B3)</f>
        <v/>
      </c>
      <c r="G3">
        <f>INT(C3)</f>
        <v/>
      </c>
      <c r="H3">
        <f>F3=G3</f>
        <v/>
      </c>
      <c r="I3">
        <f>HOUR(B3)=HOUR(C3)</f>
        <v/>
      </c>
    </row>
    <row r="4">
      <c r="A4" t="inlineStr">
        <is>
          <t>dfg-234-hjk</t>
        </is>
      </c>
      <c r="B4" s="1" t="n">
        <v>44449.39583333334</v>
      </c>
      <c r="C4" s="1" t="n">
        <v>44449.40625</v>
      </c>
      <c r="D4" t="inlineStr">
        <is>
          <t>wrqy-juv-978</t>
        </is>
      </c>
      <c r="E4" t="inlineStr">
        <is>
          <t>poi-238-dkf</t>
        </is>
      </c>
      <c r="F4">
        <f>INT(B4)</f>
        <v/>
      </c>
      <c r="G4">
        <f>INT(C4)</f>
        <v/>
      </c>
      <c r="H4">
        <f>F4=G4</f>
        <v/>
      </c>
      <c r="I4">
        <f>HOUR(B4)=HOUR(C4)</f>
        <v/>
      </c>
    </row>
    <row r="5">
      <c r="A5" t="inlineStr">
        <is>
          <t>abc-567-ghi</t>
        </is>
      </c>
      <c r="B5" s="1" t="n">
        <v>44449.54166666666</v>
      </c>
      <c r="C5" s="1" t="n">
        <v>44449.54166666666</v>
      </c>
      <c r="D5" t="inlineStr">
        <is>
          <t>8woh-k3u-23b</t>
        </is>
      </c>
      <c r="E5" t="inlineStr">
        <is>
          <t>lmn-909-wer</t>
        </is>
      </c>
      <c r="F5">
        <f>INT(B5)</f>
        <v/>
      </c>
      <c r="G5">
        <f>INT(C5)</f>
        <v/>
      </c>
      <c r="H5">
        <f>F5=G5</f>
        <v/>
      </c>
      <c r="I5">
        <f>HOUR(B5)=HOUR(C5)</f>
        <v/>
      </c>
    </row>
    <row r="6">
      <c r="A6" t="inlineStr">
        <is>
          <t>xyz-890-kjh</t>
        </is>
      </c>
      <c r="B6" s="1" t="n">
        <v>44449.54166666666</v>
      </c>
      <c r="C6" s="1" t="n">
        <v>44449.58333333334</v>
      </c>
      <c r="D6" t="inlineStr">
        <is>
          <t>wrqy-juv-978</t>
        </is>
      </c>
      <c r="E6" t="inlineStr">
        <is>
          <t>qwe-121-zxc</t>
        </is>
      </c>
      <c r="F6">
        <f>INT(B6)</f>
        <v/>
      </c>
      <c r="G6">
        <f>INT(C6)</f>
        <v/>
      </c>
      <c r="H6">
        <f>F6=G6</f>
        <v/>
      </c>
      <c r="I6">
        <f>HOUR(B6)=HOUR(C6)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s="1" t="n">
        <v>44429.56027777777</v>
      </c>
      <c r="C2" t="n">
        <v>3</v>
      </c>
      <c r="D2">
        <f>INDEX(ticket!$B:$B, MATCH(A2, ticket!$E:$E, 0))</f>
        <v/>
      </c>
    </row>
    <row r="3">
      <c r="A3" t="inlineStr">
        <is>
          <t>xjs-owq-45k</t>
        </is>
      </c>
      <c r="B3" s="1" t="n">
        <v>44430.425</v>
      </c>
      <c r="C3" t="n">
        <v>4</v>
      </c>
      <c r="D3">
        <f>INDEX(ticket!$B:$B, MATCH(A3, ticket!$E:$E, 0))</f>
        <v/>
      </c>
    </row>
    <row r="4">
      <c r="A4" t="inlineStr">
        <is>
          <t>poi-238-dkf</t>
        </is>
      </c>
      <c r="B4" s="1" t="n">
        <v>44450.38194444445</v>
      </c>
      <c r="C4" t="n">
        <v>5</v>
      </c>
      <c r="D4">
        <f>INDEX(ticket!$B:$B, MATCH(A4, ticket!$E:$E, 0))</f>
        <v/>
      </c>
    </row>
    <row r="8">
      <c r="A8" t="inlineStr">
        <is>
          <t>Outlet ID</t>
        </is>
      </c>
      <c r="B8" t="inlineStr">
        <is>
          <t>Same Day Count</t>
        </is>
      </c>
      <c r="C8" t="inlineStr">
        <is>
          <t>Same Hour Count</t>
        </is>
      </c>
    </row>
    <row r="9">
      <c r="A9" t="inlineStr">
        <is>
          <t>wrqy-juv-978</t>
        </is>
      </c>
      <c r="B9">
        <f>COUNTIFS(ticket!$D:$D, A9, ticket!$H:$H, TRUE)</f>
        <v/>
      </c>
      <c r="C9">
        <f>COUNTIFS(ticket!$D:$D, A9, ticket!$I:$I, TRUE)</f>
        <v/>
      </c>
    </row>
    <row r="10">
      <c r="A10" t="inlineStr">
        <is>
          <t>8woh-k3u-23b</t>
        </is>
      </c>
      <c r="B10">
        <f>COUNTIFS(ticket!$D:$D, A10, ticket!$H:$H, TRUE)</f>
        <v/>
      </c>
      <c r="C10">
        <f>COUNTIFS(ticket!$D:$D, A10, ticket!$I:$I, 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2026-04-09T03:34:17Z</dcterms:created>
  <dcterms:modified xmlns:dcterms="http://purl.org/dc/terms/" xmlns:xsi="http://www.w3.org/2001/XMLSchema-instance" xsi:type="dcterms:W3CDTF">2026-04-09T03:34:17Z</dcterms:modified>
</cp:coreProperties>
</file>